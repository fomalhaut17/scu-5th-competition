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174" documentId="11_20206B3795C7A0836B02CE998F0D84DA4D19828D" xr6:coauthVersionLast="47" xr6:coauthVersionMax="47" xr10:uidLastSave="{F83E60F9-7562-4234-8628-8D05FA55311F}"/>
  <bookViews>
    <workbookView xWindow="240" yWindow="105" windowWidth="14805" windowHeight="8010" xr2:uid="{00000000-000D-0000-FFFF-FFFF00000000}"/>
  </bookViews>
  <sheets>
    <sheet name="kaggle 제출 이력" sheetId="1" r:id="rId1"/>
    <sheet name="results.csv" sheetId="2" r:id="rId2"/>
    <sheet name="strateg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1" l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<sst xmlns="http://schemas.openxmlformats.org/spreadsheetml/2006/main" count="97" uniqueCount="81">
  <si>
    <t>경로</t>
  </si>
  <si>
    <t>순번</t>
  </si>
  <si>
    <t>전략명</t>
  </si>
  <si>
    <t>전략 메모</t>
  </si>
  <si>
    <t>현재 최선</t>
  </si>
  <si>
    <t>OOF</t>
  </si>
  <si>
    <t>Public</t>
  </si>
  <si>
    <t>교훈</t>
  </si>
  <si>
    <t>실행 코드</t>
  </si>
  <si>
    <t>kaggle 제출 파일</t>
  </si>
  <si>
    <t>kaggle 실행 로그</t>
  </si>
  <si>
    <t>kaggle_notebooks</t>
  </si>
  <si>
    <t>01_bl</t>
  </si>
  <si>
    <t>보정 없음</t>
  </si>
  <si>
    <t>시간 갭 때문에 보정 필요</t>
  </si>
  <si>
    <t>02_bl_trend</t>
  </si>
  <si>
    <t>전체 보정</t>
  </si>
  <si>
    <t>보정 효과 확인</t>
  </si>
  <si>
    <t>03_bl_gu_trend</t>
  </si>
  <si>
    <t>구별 보정</t>
  </si>
  <si>
    <t>구별이 전체보다 나음</t>
  </si>
  <si>
    <t>04_bl_dong_trend</t>
  </si>
  <si>
    <t>동별 보정</t>
  </si>
  <si>
    <t>과보정, 탈락</t>
  </si>
  <si>
    <t>05_bl_real_trend</t>
  </si>
  <si>
    <t>실제 상승률</t>
  </si>
  <si>
    <t>06_bl_gu_trend_v2</t>
  </si>
  <si>
    <t>재튜닝</t>
  </si>
  <si>
    <t>튜닝 효과 있음</t>
  </si>
  <si>
    <t>07_bl3_gu_trend</t>
  </si>
  <si>
    <t>모델 다양성 효과 없음</t>
  </si>
  <si>
    <t>08_stack_gu_trend</t>
  </si>
  <si>
    <t>O</t>
  </si>
  <si>
    <t>스태킹 효과 큼</t>
  </si>
  <si>
    <t>09_stack_gu_ewm_trend</t>
  </si>
  <si>
    <t>EWM 과보정, 노이즈 증폭</t>
  </si>
  <si>
    <t>핵심 교훈 요약</t>
  </si>
  <si>
    <t>트렌드 보정: 구별 단순 평균이 최적. 더 세밀하게(동별, EWM) 하면 과보정</t>
  </si>
  <si>
    <t>모델 조합: 트리 모델 다양성(XGB)은 효과 없음, Ridge 스태킹은 효과 큼</t>
  </si>
  <si>
    <t>데이터 특성: Train(2024~25) → Test(2026) 시간 갭이 핵심 문제</t>
  </si>
  <si>
    <t>보정 민감도: 강도를 조금만 올려도 RMSE가 1,000 이상 튈 수 있음</t>
  </si>
  <si>
    <t>컬럼</t>
  </si>
  <si>
    <t>설명</t>
  </si>
  <si>
    <t>layer</t>
  </si>
  <si>
    <t>전략이 속한 레이어 (L1~L4)</t>
  </si>
  <si>
    <t>num</t>
  </si>
  <si>
    <t>해당 레이어 내 전략 번호</t>
  </si>
  <si>
    <t>abbr</t>
  </si>
  <si>
    <t>전략 축약명 (예: STK+GTR)</t>
  </si>
  <si>
    <t>description</t>
  </si>
  <si>
    <t>전략 설명</t>
  </si>
  <si>
    <t>oof_rmse</t>
  </si>
  <si>
    <t>로컬 5-Fold CV의 Out-of-Fold RMSE</t>
  </si>
  <si>
    <t>status</t>
  </si>
  <si>
    <t>confirmed / dropped / best / tested</t>
  </si>
  <si>
    <t>date</t>
  </si>
  <si>
    <t>Kaggle 제출한 날짜 (미제출 시 빈칸)</t>
  </si>
  <si>
    <t>public_rmse</t>
  </si>
  <si>
    <t>Kaggle Public 리더보드 RMSE (미제출 시 빈칸)</t>
  </si>
  <si>
    <t>L1_features/ — 피처 확정 (모델: LightGBM 고정)</t>
  </si>
  <si>
    <t>파일</t>
  </si>
  <si>
    <t>OOF RMSE</t>
  </si>
  <si>
    <t>결과</t>
  </si>
  <si>
    <t>01_fe.py (피처 엔지니어링)</t>
  </si>
  <si>
    <t>확정</t>
  </si>
  <si>
    <t>02_te.py (타겟 인코딩)</t>
  </si>
  <si>
    <t>탈락</t>
  </si>
  <si>
    <t>03_fe_te.py (FE+TE)</t>
  </si>
  <si>
    <t>L2_models/ — 모델 테스트 (피처: L1 FE 고정)</t>
  </si>
  <si>
    <t>01_cb.py (CatBoost)</t>
  </si>
  <si>
    <t>선발</t>
  </si>
  <si>
    <t>02_lr.py (Ridge)</t>
  </si>
  <si>
    <t>선발 (다양성)</t>
  </si>
  <si>
    <t>03_xb.py (XGBoost)</t>
  </si>
  <si>
    <t>L3_tuning/ — Optuna 하이퍼파라미터 튜닝</t>
  </si>
  <si>
    <t>01_cb_tn.py</t>
  </si>
  <si>
    <t>02_lgb_tn.py</t>
  </si>
  <si>
    <t>03_lr_tn.py</t>
  </si>
  <si>
    <t>탈락 (효과 없음)</t>
  </si>
  <si>
    <t>L4_blending/ — 최종 블렌딩</t>
  </si>
  <si>
    <t>01_bl.py (CB 50% + LGB 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</si>
</sst>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/>
    <xf numFmtId="3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1" workbookViewId="0">
      <selection activeCell="D19" sqref="D19"/>
    </sheetView>
  </sheetViews>
  <sheetFormatPr defaultRowHeight="16.5"/>
  <cols>
    <col min="1" max="1" width="16.125" bestFit="1" customWidth="1"/>
    <col min="3" max="4" width="24.375" customWidth="1"/>
    <col min="5" max="5" width="11" style="5" customWidth="1"/>
    <col min="6" max="7" width="10.625" customWidth="1"/>
    <col min="8" max="8" width="28.375" customWidth="1"/>
    <col min="9" max="9" width="23.125" customWidth="1"/>
    <col min="10" max="10" width="34.375" customWidth="1"/>
    <col min="11" max="11" width="27.37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9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2" t="s">
        <v>11</v>
      </c>
      <c r="B2" s="3">
        <v>1</v>
      </c>
      <c r="C2" s="3" t="s">
        <v>12</v>
      </c>
      <c r="D2" s="3" t="s">
        <v>13</v>
      </c>
      <c r="E2" s="6"/>
      <c r="F2" s="3">
        <v>2247</v>
      </c>
      <c r="G2" s="3">
        <v>2537</v>
      </c>
      <c r="H2" s="3" t="s">
        <v>14</v>
      </c>
      <c r="I2" s="3" t="str">
        <f>CONCATENATE(C2, ".py")</f>
        <v>01_bl.py</v>
      </c>
      <c r="J2" s="3" t="str">
        <f>CONCATENATE(C2, "-submission.csv")</f>
        <v>01_bl-submission.csv</v>
      </c>
      <c r="K2" s="3" t="str">
        <f>CONCATENATE(C2, ".log")</f>
        <v>01_bl.log</v>
      </c>
    </row>
    <row r="3" spans="1:11">
      <c r="A3" s="3"/>
      <c r="B3" s="3">
        <v>2</v>
      </c>
      <c r="C3" s="3" t="s">
        <v>15</v>
      </c>
      <c r="D3" s="3" t="s">
        <v>16</v>
      </c>
      <c r="E3" s="6"/>
      <c r="F3" s="3">
        <v>2247</v>
      </c>
      <c r="G3" s="3">
        <v>2320</v>
      </c>
      <c r="H3" s="3" t="s">
        <v>17</v>
      </c>
      <c r="I3" s="3" t="str">
        <f>CONCATENATE(C3, ".py")</f>
        <v>02_bl_trend.py</v>
      </c>
      <c r="J3" s="3" t="str">
        <f>CONCATENATE(C3, "-submission.csv")</f>
        <v>02_bl_trend-submission.csv</v>
      </c>
      <c r="K3" s="3" t="str">
        <f>CONCATENATE(C3, ".log")</f>
        <v>02_bl_trend.log</v>
      </c>
    </row>
    <row r="4" spans="1:11">
      <c r="A4" s="3"/>
      <c r="B4" s="3">
        <v>3</v>
      </c>
      <c r="C4" s="3" t="s">
        <v>18</v>
      </c>
      <c r="D4" s="3" t="s">
        <v>19</v>
      </c>
      <c r="E4" s="6"/>
      <c r="F4" s="3">
        <v>2247</v>
      </c>
      <c r="G4" s="3">
        <v>2212</v>
      </c>
      <c r="H4" s="3" t="s">
        <v>20</v>
      </c>
      <c r="I4" s="3" t="str">
        <f t="shared" ref="I4:I10" si="0">CONCATENATE(C4, ".py")</f>
        <v>03_bl_gu_trend.py</v>
      </c>
      <c r="J4" s="3" t="str">
        <f t="shared" ref="J4:J10" si="1">CONCATENATE(C4, "-submission.csv")</f>
        <v>03_bl_gu_trend-submission.csv</v>
      </c>
      <c r="K4" s="3" t="str">
        <f t="shared" ref="K4:K10" si="2">CONCATENATE(C4, ".log")</f>
        <v>03_bl_gu_trend.log</v>
      </c>
    </row>
    <row r="5" spans="1:11">
      <c r="A5" s="3"/>
      <c r="B5" s="3">
        <v>4</v>
      </c>
      <c r="C5" s="3" t="s">
        <v>21</v>
      </c>
      <c r="D5" s="3" t="s">
        <v>22</v>
      </c>
      <c r="E5" s="6"/>
      <c r="F5" s="3">
        <v>2247</v>
      </c>
      <c r="G5" s="3">
        <v>2383</v>
      </c>
      <c r="H5" s="3" t="s">
        <v>23</v>
      </c>
      <c r="I5" s="3" t="str">
        <f t="shared" si="0"/>
        <v>04_bl_dong_trend.py</v>
      </c>
      <c r="J5" s="3" t="str">
        <f t="shared" si="1"/>
        <v>04_bl_dong_trend-submission.csv</v>
      </c>
      <c r="K5" s="3" t="str">
        <f t="shared" si="2"/>
        <v>04_bl_dong_trend.log</v>
      </c>
    </row>
    <row r="6" spans="1:11">
      <c r="A6" s="3"/>
      <c r="B6" s="3">
        <v>5</v>
      </c>
      <c r="C6" s="3" t="s">
        <v>24</v>
      </c>
      <c r="D6" s="3" t="s">
        <v>25</v>
      </c>
      <c r="E6" s="6"/>
      <c r="F6" s="3">
        <v>2247</v>
      </c>
      <c r="G6" s="3">
        <v>2335</v>
      </c>
      <c r="H6" s="3" t="s">
        <v>23</v>
      </c>
      <c r="I6" s="3" t="str">
        <f t="shared" si="0"/>
        <v>05_bl_real_trend.py</v>
      </c>
      <c r="J6" s="3" t="str">
        <f t="shared" si="1"/>
        <v>05_bl_real_trend-submission.csv</v>
      </c>
      <c r="K6" s="3" t="str">
        <f t="shared" si="2"/>
        <v>05_bl_real_trend.log</v>
      </c>
    </row>
    <row r="7" spans="1:11">
      <c r="A7" s="3"/>
      <c r="B7" s="3">
        <v>6</v>
      </c>
      <c r="C7" s="3" t="s">
        <v>26</v>
      </c>
      <c r="D7" s="3" t="s">
        <v>27</v>
      </c>
      <c r="E7" s="6"/>
      <c r="F7" s="3">
        <v>2239</v>
      </c>
      <c r="G7" s="3">
        <v>2187</v>
      </c>
      <c r="H7" s="3" t="s">
        <v>28</v>
      </c>
      <c r="I7" s="3" t="str">
        <f t="shared" si="0"/>
        <v>06_bl_gu_trend_v2.py</v>
      </c>
      <c r="J7" s="3" t="str">
        <f t="shared" si="1"/>
        <v>06_bl_gu_trend_v2-submission.csv</v>
      </c>
      <c r="K7" s="3" t="str">
        <f t="shared" si="2"/>
        <v>06_bl_gu_trend_v2.log</v>
      </c>
    </row>
    <row r="8" spans="1:11">
      <c r="A8" s="3"/>
      <c r="B8" s="3">
        <v>7</v>
      </c>
      <c r="C8" s="3" t="s">
        <v>29</v>
      </c>
      <c r="D8" s="3" t="s">
        <v>30</v>
      </c>
      <c r="E8" s="6"/>
      <c r="F8" s="3">
        <v>2237</v>
      </c>
      <c r="G8" s="3">
        <v>2192</v>
      </c>
      <c r="H8" s="3" t="s">
        <v>30</v>
      </c>
      <c r="I8" s="3" t="str">
        <f t="shared" si="0"/>
        <v>07_bl3_gu_trend.py</v>
      </c>
      <c r="J8" s="3" t="str">
        <f t="shared" si="1"/>
        <v>07_bl3_gu_trend-submission.csv</v>
      </c>
      <c r="K8" s="3" t="str">
        <f t="shared" si="2"/>
        <v>07_bl3_gu_trend.log</v>
      </c>
    </row>
    <row r="9" spans="1:11">
      <c r="A9" s="3"/>
      <c r="B9" s="3">
        <v>8</v>
      </c>
      <c r="C9" s="3" t="s">
        <v>31</v>
      </c>
      <c r="D9" s="3"/>
      <c r="E9" s="6" t="s">
        <v>32</v>
      </c>
      <c r="F9" s="3">
        <v>2234</v>
      </c>
      <c r="G9" s="3">
        <v>2155</v>
      </c>
      <c r="H9" s="3" t="s">
        <v>33</v>
      </c>
      <c r="I9" s="3" t="str">
        <f t="shared" si="0"/>
        <v>08_stack_gu_trend.py</v>
      </c>
      <c r="J9" s="3" t="str">
        <f t="shared" si="1"/>
        <v>08_stack_gu_trend-submission.csv</v>
      </c>
      <c r="K9" s="3" t="str">
        <f t="shared" si="2"/>
        <v>08_stack_gu_trend.log</v>
      </c>
    </row>
    <row r="10" spans="1:11">
      <c r="A10" s="3"/>
      <c r="B10" s="3">
        <v>9</v>
      </c>
      <c r="C10" s="2" t="s">
        <v>34</v>
      </c>
      <c r="D10" s="2"/>
      <c r="E10" s="7"/>
      <c r="F10" s="2">
        <v>2234</v>
      </c>
      <c r="G10" s="2">
        <v>3154</v>
      </c>
      <c r="H10" s="2" t="s">
        <v>35</v>
      </c>
      <c r="I10" s="3" t="str">
        <f t="shared" si="0"/>
        <v>09_stack_gu_ewm_trend.py</v>
      </c>
      <c r="J10" s="3" t="str">
        <f t="shared" si="1"/>
        <v>09_stack_gu_ewm_trend-submission.csv</v>
      </c>
      <c r="K10" s="3" t="str">
        <f t="shared" si="2"/>
        <v>09_stack_gu_ewm_trend.log</v>
      </c>
    </row>
    <row r="13" spans="1:11">
      <c r="D13" s="23" t="s">
        <v>36</v>
      </c>
      <c r="E13" s="24"/>
      <c r="F13" s="25"/>
      <c r="G13" s="25"/>
      <c r="H13" s="26"/>
    </row>
    <row r="14" spans="1:11">
      <c r="D14" s="18" t="s">
        <v>37</v>
      </c>
      <c r="E14" s="15"/>
      <c r="F14" s="16"/>
      <c r="G14" s="16"/>
      <c r="H14" s="17"/>
    </row>
    <row r="15" spans="1:11">
      <c r="D15" s="18" t="s">
        <v>38</v>
      </c>
      <c r="E15" s="15"/>
      <c r="F15" s="16"/>
      <c r="G15" s="16"/>
      <c r="H15" s="17"/>
    </row>
    <row r="16" spans="1:11">
      <c r="D16" s="18" t="s">
        <v>39</v>
      </c>
      <c r="E16" s="15"/>
      <c r="F16" s="16"/>
      <c r="G16" s="16"/>
      <c r="H16" s="17"/>
    </row>
    <row r="17" spans="4:8">
      <c r="D17" s="19" t="s">
        <v>40</v>
      </c>
      <c r="E17" s="20"/>
      <c r="F17" s="21"/>
      <c r="G17" s="21"/>
      <c r="H17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17AD-DBB1-464A-8174-ACB8869E21E8}">
  <dimension ref="A1:B9"/>
  <sheetViews>
    <sheetView workbookViewId="0">
      <selection activeCell="B8" sqref="B8"/>
    </sheetView>
  </sheetViews>
  <sheetFormatPr defaultRowHeight="16.5"/>
  <cols>
    <col min="1" max="1" width="16.5" customWidth="1"/>
    <col min="2" max="2" width="51.875" customWidth="1"/>
  </cols>
  <sheetData>
    <row r="1" spans="1:2">
      <c r="A1" s="8" t="s">
        <v>41</v>
      </c>
      <c r="B1" s="9" t="s">
        <v>42</v>
      </c>
    </row>
    <row r="2" spans="1:2">
      <c r="A2" s="6" t="s">
        <v>43</v>
      </c>
      <c r="B2" s="7" t="s">
        <v>44</v>
      </c>
    </row>
    <row r="3" spans="1:2">
      <c r="A3" s="6" t="s">
        <v>45</v>
      </c>
      <c r="B3" s="7" t="s">
        <v>46</v>
      </c>
    </row>
    <row r="4" spans="1:2">
      <c r="A4" s="6" t="s">
        <v>47</v>
      </c>
      <c r="B4" s="7" t="s">
        <v>48</v>
      </c>
    </row>
    <row r="5" spans="1:2">
      <c r="A5" s="6" t="s">
        <v>49</v>
      </c>
      <c r="B5" s="7" t="s">
        <v>50</v>
      </c>
    </row>
    <row r="6" spans="1:2">
      <c r="A6" s="6" t="s">
        <v>51</v>
      </c>
      <c r="B6" s="7" t="s">
        <v>52</v>
      </c>
    </row>
    <row r="7" spans="1:2">
      <c r="A7" s="6" t="s">
        <v>53</v>
      </c>
      <c r="B7" s="7" t="s">
        <v>54</v>
      </c>
    </row>
    <row r="8" spans="1:2">
      <c r="A8" s="6" t="s">
        <v>55</v>
      </c>
      <c r="B8" s="7" t="s">
        <v>56</v>
      </c>
    </row>
    <row r="9" spans="1:2">
      <c r="A9" s="6" t="s">
        <v>57</v>
      </c>
      <c r="B9" s="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47D9-06DE-4FFE-8CF8-658B9955ADC8}">
  <dimension ref="A1:C25"/>
  <sheetViews>
    <sheetView topLeftCell="A6" workbookViewId="0">
      <selection activeCell="A29" sqref="A29"/>
    </sheetView>
  </sheetViews>
  <sheetFormatPr defaultRowHeight="16.5"/>
  <cols>
    <col min="1" max="1" width="46.25" customWidth="1"/>
    <col min="2" max="2" width="10.125" bestFit="1" customWidth="1"/>
    <col min="3" max="3" width="14.5" bestFit="1" customWidth="1"/>
  </cols>
  <sheetData>
    <row r="1" spans="1:3">
      <c r="A1" s="11" t="s">
        <v>59</v>
      </c>
    </row>
    <row r="2" spans="1:3">
      <c r="A2" s="1"/>
    </row>
    <row r="3" spans="1:3">
      <c r="A3" s="9" t="s">
        <v>60</v>
      </c>
      <c r="B3" s="8" t="s">
        <v>61</v>
      </c>
      <c r="C3" s="8" t="s">
        <v>62</v>
      </c>
    </row>
    <row r="4" spans="1:3">
      <c r="A4" s="7" t="s">
        <v>63</v>
      </c>
      <c r="B4" s="12">
        <v>2403</v>
      </c>
      <c r="C4" s="6" t="s">
        <v>64</v>
      </c>
    </row>
    <row r="5" spans="1:3">
      <c r="A5" s="7" t="s">
        <v>65</v>
      </c>
      <c r="B5" s="12">
        <v>2445</v>
      </c>
      <c r="C5" s="6" t="s">
        <v>66</v>
      </c>
    </row>
    <row r="6" spans="1:3">
      <c r="A6" s="7" t="s">
        <v>67</v>
      </c>
      <c r="B6" s="12">
        <v>2446</v>
      </c>
      <c r="C6" s="6" t="s">
        <v>66</v>
      </c>
    </row>
    <row r="7" spans="1:3">
      <c r="A7" s="1"/>
      <c r="B7" s="10"/>
    </row>
    <row r="8" spans="1:3">
      <c r="A8" s="1" t="s">
        <v>68</v>
      </c>
    </row>
    <row r="9" spans="1:3">
      <c r="A9" s="1"/>
    </row>
    <row r="10" spans="1:3">
      <c r="A10" s="9" t="s">
        <v>60</v>
      </c>
      <c r="B10" s="8" t="s">
        <v>61</v>
      </c>
      <c r="C10" s="8" t="s">
        <v>62</v>
      </c>
    </row>
    <row r="11" spans="1:3">
      <c r="A11" s="7" t="s">
        <v>69</v>
      </c>
      <c r="B11" s="12">
        <v>2310</v>
      </c>
      <c r="C11" s="6" t="s">
        <v>70</v>
      </c>
    </row>
    <row r="12" spans="1:3">
      <c r="A12" s="7" t="s">
        <v>71</v>
      </c>
      <c r="B12" s="12">
        <v>5765</v>
      </c>
      <c r="C12" s="6" t="s">
        <v>72</v>
      </c>
    </row>
    <row r="13" spans="1:3">
      <c r="A13" s="7" t="s">
        <v>73</v>
      </c>
      <c r="B13" s="12">
        <v>2644</v>
      </c>
      <c r="C13" s="6" t="s">
        <v>66</v>
      </c>
    </row>
    <row r="14" spans="1:3">
      <c r="A14" s="13"/>
      <c r="B14" s="14"/>
      <c r="C14" s="15"/>
    </row>
    <row r="15" spans="1:3">
      <c r="A15" s="1" t="s">
        <v>74</v>
      </c>
    </row>
    <row r="16" spans="1:3">
      <c r="A16" s="1"/>
    </row>
    <row r="17" spans="1:3">
      <c r="A17" s="9" t="s">
        <v>60</v>
      </c>
      <c r="B17" s="8" t="s">
        <v>61</v>
      </c>
      <c r="C17" s="8" t="s">
        <v>62</v>
      </c>
    </row>
    <row r="18" spans="1:3">
      <c r="A18" s="7" t="s">
        <v>75</v>
      </c>
      <c r="B18" s="12">
        <v>2267</v>
      </c>
      <c r="C18" s="6" t="s">
        <v>64</v>
      </c>
    </row>
    <row r="19" spans="1:3">
      <c r="A19" s="7" t="s">
        <v>76</v>
      </c>
      <c r="B19" s="12">
        <v>2298</v>
      </c>
      <c r="C19" s="6" t="s">
        <v>64</v>
      </c>
    </row>
    <row r="20" spans="1:3">
      <c r="A20" s="7" t="s">
        <v>77</v>
      </c>
      <c r="B20" s="12">
        <v>5765</v>
      </c>
      <c r="C20" s="6" t="s">
        <v>78</v>
      </c>
    </row>
    <row r="21" spans="1:3">
      <c r="A21" s="1"/>
      <c r="B21" s="10"/>
    </row>
    <row r="22" spans="1:3">
      <c r="A22" s="1" t="s">
        <v>79</v>
      </c>
    </row>
    <row r="23" spans="1:3">
      <c r="A23" s="1"/>
    </row>
    <row r="24" spans="1:3">
      <c r="A24" s="9" t="s">
        <v>60</v>
      </c>
      <c r="B24" s="8" t="s">
        <v>61</v>
      </c>
      <c r="C24" s="8" t="s">
        <v>62</v>
      </c>
    </row>
    <row r="25" spans="1:3">
      <c r="A25" s="7" t="s">
        <v>80</v>
      </c>
      <c r="B25" s="12">
        <v>2242</v>
      </c>
      <c r="C25" s="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원석 이</cp:lastModifiedBy>
  <cp:revision/>
  <dcterms:created xsi:type="dcterms:W3CDTF">2026-06-23T05:09:26Z</dcterms:created>
  <dcterms:modified xsi:type="dcterms:W3CDTF">2026-06-23T05:42:23Z</dcterms:modified>
  <cp:category/>
  <cp:contentStatus/>
</cp:coreProperties>
</file>